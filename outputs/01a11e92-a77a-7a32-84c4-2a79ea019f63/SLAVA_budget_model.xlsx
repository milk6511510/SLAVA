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k752\Documents\Codex\2026-10-09\slava-logo-logo\outputs\01a11e92-a77a-7a32-84c4-2a79ea019f63\"/>
    </mc:Choice>
  </mc:AlternateContent>
  <xr:revisionPtr revIDLastSave="0" documentId="8_{F12B1FB5-FDF3-43F4-A1BB-FEE0B1D0DF53}" xr6:coauthVersionLast="47" xr6:coauthVersionMax="47" xr10:uidLastSave="{00000000-0000-0000-0000-000000000000}"/>
  <bookViews>
    <workbookView xWindow="-120" yWindow="-120" windowWidth="38640" windowHeight="21120" activeTab="3" xr2:uid="{40FD9E35-A1C8-4256-8060-60AC47B6359F}"/>
  </bookViews>
  <sheets>
    <sheet name="Sources" sheetId="4" r:id="rId1"/>
    <sheet name="Unit_Economics" sheetId="3" r:id="rId2"/>
    <sheet name="Assumptions" sheetId="2" r:id="rId3"/>
    <sheet name="Summary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3" l="1"/>
  <c r="B8" i="3"/>
  <c r="B7" i="3"/>
  <c r="B22" i="2"/>
  <c r="F8" i="3" s="1"/>
  <c r="B19" i="2"/>
  <c r="B18" i="2"/>
  <c r="B17" i="2"/>
  <c r="C7" i="3" s="1"/>
  <c r="B15" i="1"/>
  <c r="C9" i="1"/>
  <c r="C8" i="1"/>
  <c r="C7" i="1"/>
  <c r="B9" i="1"/>
  <c r="B8" i="1"/>
  <c r="B7" i="1"/>
  <c r="A9" i="1"/>
  <c r="A8" i="1"/>
  <c r="A7" i="1"/>
  <c r="B9" i="3" l="1"/>
  <c r="D7" i="3"/>
  <c r="C8" i="3"/>
  <c r="B20" i="2"/>
  <c r="F9" i="3"/>
  <c r="D9" i="1"/>
  <c r="E9" i="1" s="1"/>
  <c r="F9" i="1" s="1"/>
  <c r="D7" i="1"/>
  <c r="E7" i="1" s="1"/>
  <c r="F7" i="1" s="1"/>
  <c r="D8" i="1"/>
  <c r="E8" i="1" s="1"/>
  <c r="F8" i="1" s="1"/>
  <c r="D9" i="3" l="1"/>
  <c r="E9" i="3" s="1"/>
  <c r="E7" i="3"/>
  <c r="G7" i="3"/>
  <c r="C9" i="3"/>
  <c r="D8" i="3"/>
  <c r="H7" i="1"/>
  <c r="H9" i="1"/>
  <c r="H8" i="1"/>
  <c r="I9" i="1"/>
  <c r="G9" i="1"/>
  <c r="B13" i="1"/>
  <c r="G8" i="1"/>
  <c r="B14" i="1" s="1"/>
  <c r="I8" i="1"/>
  <c r="I7" i="1"/>
  <c r="G7" i="1"/>
  <c r="G8" i="3" l="1"/>
  <c r="G9" i="3" s="1"/>
  <c r="E8" i="3"/>
</calcChain>
</file>

<file path=xl/sharedStrings.xml><?xml version="1.0" encoding="utf-8"?>
<sst xmlns="http://schemas.openxmlformats.org/spreadsheetml/2006/main" count="123" uniqueCount="112">
  <si>
    <t>SLAVA 資金準備模型</t>
  </si>
  <si>
    <t>NT$；初始示例值均可修改，模型用來估算啟動現金與嘖嘖募資目標。</t>
  </si>
  <si>
    <t>情境比較</t>
  </si>
  <si>
    <t>情境</t>
  </si>
  <si>
    <t>用途</t>
  </si>
  <si>
    <t>前置固定費</t>
  </si>
  <si>
    <t>生產與履約</t>
  </si>
  <si>
    <t>預備金</t>
  </si>
  <si>
    <t>需先準備現金</t>
  </si>
  <si>
    <t>建議募資總額</t>
  </si>
  <si>
    <t>混合貢獻／件</t>
  </si>
  <si>
    <t>損益平衡件數</t>
  </si>
  <si>
    <t>備註</t>
  </si>
  <si>
    <t>先做驗證，不先大量備貨</t>
  </si>
  <si>
    <t>建議作為第一輪嘖嘖目標</t>
  </si>
  <si>
    <t>MOQ／交期壓力較高時使用</t>
  </si>
  <si>
    <t>本輪建議</t>
  </si>
  <si>
    <t>建議先準備現金</t>
  </si>
  <si>
    <t>預計平台／金流費率</t>
  </si>
  <si>
    <t>模型限制</t>
  </si>
  <si>
    <t>產品成本、MOQ、運費與售價尚未取得供應商正式報價</t>
  </si>
  <si>
    <t>如何使用</t>
  </si>
  <si>
    <t>先在 Assumptions 工作表把黃色欄位換成真實報價。
1. 填入兩款產品的單位成本、包裝、檢測與履約預備金。
2. 填入你預計的首批數量與前置製作費。
3. 回到 Summary 看需先準備的現金與嘖嘖募資總額。
這不是會計報表；它是募資前的現金需求與單位經濟估算。</t>
  </si>
  <si>
    <t>可修改假設</t>
  </si>
  <si>
    <t>黃色底／藍色字為需要替換的初始示例值；所有金額單位為 NT$。</t>
  </si>
  <si>
    <t>共通假設</t>
  </si>
  <si>
    <t>平台＋金流費率</t>
  </si>
  <si>
    <t>退款／瑕疵預備率</t>
  </si>
  <si>
    <t>LONG 預計售價</t>
  </si>
  <si>
    <t>ROUND 預計售價</t>
  </si>
  <si>
    <t>LONG 產品製造成本／件</t>
  </si>
  <si>
    <t>ROUND 產品製造成本／件</t>
  </si>
  <si>
    <t>包裝／件</t>
  </si>
  <si>
    <t>檢測與裝配／件</t>
  </si>
  <si>
    <t>出貨與履約預備／件</t>
  </si>
  <si>
    <t>LONG 變動成本／件</t>
  </si>
  <si>
    <t>ROUND 變動成本／件</t>
  </si>
  <si>
    <t>LONG 單位貢獻</t>
  </si>
  <si>
    <t>ROUND 單位貢獻</t>
  </si>
  <si>
    <t>預計 LONG 銷售占比</t>
  </si>
  <si>
    <t>預計 ROUND 銷售占比</t>
  </si>
  <si>
    <t>募資情境假設</t>
  </si>
  <si>
    <t>LONG 件數</t>
  </si>
  <si>
    <t>ROUND 件數</t>
  </si>
  <si>
    <t>預備金率</t>
  </si>
  <si>
    <t>用途說明</t>
  </si>
  <si>
    <t>Lean validation</t>
  </si>
  <si>
    <t>學生／老師試用</t>
  </si>
  <si>
    <t>先驗證需求與適配</t>
  </si>
  <si>
    <t>Launch ready</t>
  </si>
  <si>
    <t>嘖嘖第一輪</t>
  </si>
  <si>
    <t>含內容、樣品與首批小量</t>
  </si>
  <si>
    <t>Production safe</t>
  </si>
  <si>
    <t>MOQ／交期安全</t>
  </si>
  <si>
    <t>含較大首批與現金緩衝</t>
  </si>
  <si>
    <t>格式圖例</t>
  </si>
  <si>
    <t>藍字＋黃色底</t>
  </si>
  <si>
    <t>需要換成你的真實報價／數量</t>
  </si>
  <si>
    <t>黑字</t>
  </si>
  <si>
    <t>同一張表內的計算</t>
  </si>
  <si>
    <t>綠字</t>
  </si>
  <si>
    <t>跨工作表連結</t>
  </si>
  <si>
    <t>資料狀態</t>
  </si>
  <si>
    <t>初始示例值，不代表正式報價</t>
  </si>
  <si>
    <t>單位經濟</t>
  </si>
  <si>
    <t>以產品售價與每件變動成本估算貢獻；價格與成本皆為可替換的初始示例。</t>
  </si>
  <si>
    <t>產品</t>
  </si>
  <si>
    <t>預計售價</t>
  </si>
  <si>
    <t>變動成本／件</t>
  </si>
  <si>
    <t>單位貢獻</t>
  </si>
  <si>
    <t>毛利率</t>
  </si>
  <si>
    <t>預計銷售占比</t>
  </si>
  <si>
    <t>加權貢獻</t>
  </si>
  <si>
    <t>LONG</t>
  </si>
  <si>
    <t>ROUND</t>
  </si>
  <si>
    <t>加權平均</t>
  </si>
  <si>
    <t>解讀</t>
  </si>
  <si>
    <t>單位貢獻 = 售價 − 變動成本。
損益平衡件數以 Summary 的需先準備現金 ÷ 混合貢獻／件估算，實際募資還要依兩款產品的真實訂單組合、平台費、稅務、退貨與交期修正。</t>
  </si>
  <si>
    <t>來源與假設備註</t>
  </si>
  <si>
    <t>官方來源保留在此頁；成本、售價、數量是待替換的工作假設。</t>
  </si>
  <si>
    <t>項目</t>
  </si>
  <si>
    <t>內容</t>
  </si>
  <si>
    <t>單位</t>
  </si>
  <si>
    <t>來源類型</t>
  </si>
  <si>
    <t>來源／網址</t>
  </si>
  <si>
    <t>嘖嘖平台＋金流費</t>
  </si>
  <si>
    <t>8.0%（可修改）</t>
  </si>
  <si>
    <t>%</t>
  </si>
  <si>
    <t>官方平台資訊</t>
  </si>
  <si>
    <t>https://www.zeczec.com/docs/funds-rules</t>
  </si>
  <si>
    <t>公開資訊約 5.5% 平台費＋約 2.5% 金流費，實際依契約與付款方式為準</t>
  </si>
  <si>
    <t>商業登記</t>
  </si>
  <si>
    <t>正式預購／營利交易前建議評估行號</t>
  </si>
  <si>
    <t>制度</t>
  </si>
  <si>
    <t>政府官方</t>
  </si>
  <si>
    <t>https://www.gov.tw/News_Content_2_828377</t>
  </si>
  <si>
    <t>商業登記申辦說明</t>
  </si>
  <si>
    <t>SBIR</t>
  </si>
  <si>
    <t>補助資格與上限依最新公告</t>
  </si>
  <si>
    <t>https://sbir.sme.gov.tw/</t>
  </si>
  <si>
    <t>是否適用取決於登記狀態與研發計畫</t>
  </si>
  <si>
    <t>產品製造成本</t>
  </si>
  <si>
    <t>示例值，請替換</t>
  </si>
  <si>
    <t>NT$/件</t>
  </si>
  <si>
    <t>使用者／供應商報價</t>
  </si>
  <si>
    <t>尚未取得正式報價</t>
  </si>
  <si>
    <t>包裝、檢測、履約</t>
  </si>
  <si>
    <t>工作假設</t>
  </si>
  <si>
    <t>待打樣、跌落測試與物流報價</t>
  </si>
  <si>
    <t>售價與首批數量</t>
  </si>
  <si>
    <t>NT$／件、件數</t>
  </si>
  <si>
    <t>需依學生客群、MOQ 與實測價值修正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</si>
</sst>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2"/>
      <color theme="1"/>
      <name val="Aptos Narrow"/>
      <family val="2"/>
      <charset val="136"/>
      <scheme val="minor"/>
    </font>
    <font>
      <sz val="10"/>
      <color rgb="FF1C2024"/>
      <name val="Arial"/>
      <family val="2"/>
    </font>
    <font>
      <b/>
      <sz val="16"/>
      <color rgb="FF351924"/>
      <name val="Arial"/>
      <family val="2"/>
    </font>
    <font>
      <sz val="10"/>
      <color rgb="FF77756F"/>
      <name val="Arial"/>
      <family val="2"/>
    </font>
    <font>
      <i/>
      <sz val="10"/>
      <color rgb="FF77756F"/>
      <name val="Arial"/>
      <family val="2"/>
    </font>
    <font>
      <b/>
      <sz val="11"/>
      <color rgb="FF351924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sz val="9"/>
      <color rgb="FF1C2024"/>
      <name val="Arial"/>
      <family val="2"/>
    </font>
    <font>
      <sz val="9"/>
      <color rgb="FF77756F"/>
      <name val="Arial"/>
      <family val="2"/>
    </font>
    <font>
      <b/>
      <sz val="10"/>
      <color rgb="FF351924"/>
      <name val="Arial"/>
      <family val="2"/>
    </font>
    <font>
      <b/>
      <sz val="12"/>
      <color rgb="FF351924"/>
      <name val="Arial"/>
      <family val="2"/>
    </font>
    <font>
      <sz val="10"/>
      <color rgb="FF0000FF"/>
      <name val="Arial"/>
      <family val="2"/>
    </font>
    <font>
      <b/>
      <sz val="9"/>
      <color rgb="FF351924"/>
      <name val="Arial"/>
      <family val="2"/>
    </font>
    <font>
      <b/>
      <sz val="10"/>
      <color rgb="FF1C2024"/>
      <name val="Arial"/>
      <family val="2"/>
    </font>
    <font>
      <u/>
      <sz val="12"/>
      <color theme="10"/>
      <name val="Aptos Narrow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51924"/>
        <bgColor indexed="64"/>
      </patternFill>
    </fill>
    <fill>
      <patternFill patternType="solid">
        <fgColor rgb="FF5C2434"/>
        <bgColor indexed="64"/>
      </patternFill>
    </fill>
    <fill>
      <patternFill patternType="solid">
        <fgColor rgb="FFF7F2E9"/>
        <bgColor indexed="64"/>
      </patternFill>
    </fill>
    <fill>
      <patternFill patternType="solid">
        <fgColor rgb="FFFFF2C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9824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D8CD"/>
      </left>
      <right style="thin">
        <color rgb="FFE2D8CD"/>
      </right>
      <top style="thin">
        <color rgb="FFE2D8CD"/>
      </top>
      <bottom style="thin">
        <color rgb="FFE2D8CD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1" xfId="0" applyFont="1" applyBorder="1"/>
    <xf numFmtId="0" fontId="4" fillId="0" borderId="0" xfId="0" applyFont="1"/>
    <xf numFmtId="0" fontId="5" fillId="0" borderId="0" xfId="0" applyFont="1"/>
    <xf numFmtId="0" fontId="6" fillId="2" borderId="2" xfId="0" applyFont="1" applyFill="1" applyBorder="1" applyAlignment="1">
      <alignment vertical="center" wrapText="1"/>
    </xf>
    <xf numFmtId="0" fontId="7" fillId="0" borderId="3" xfId="0" applyFont="1" applyFill="1" applyBorder="1"/>
    <xf numFmtId="3" fontId="7" fillId="0" borderId="3" xfId="0" applyNumberFormat="1" applyFont="1" applyFill="1" applyBorder="1"/>
    <xf numFmtId="0" fontId="9" fillId="0" borderId="3" xfId="0" applyFont="1" applyFill="1" applyBorder="1"/>
    <xf numFmtId="0" fontId="6" fillId="3" borderId="0" xfId="0" applyFont="1" applyFill="1"/>
    <xf numFmtId="3" fontId="1" fillId="0" borderId="0" xfId="0" applyNumberFormat="1" applyFont="1"/>
    <xf numFmtId="0" fontId="10" fillId="0" borderId="3" xfId="0" applyFont="1" applyFill="1" applyBorder="1"/>
    <xf numFmtId="3" fontId="11" fillId="0" borderId="3" xfId="0" applyNumberFormat="1" applyFont="1" applyFill="1" applyBorder="1"/>
    <xf numFmtId="164" fontId="11" fillId="0" borderId="3" xfId="0" applyNumberFormat="1" applyFont="1" applyFill="1" applyBorder="1"/>
    <xf numFmtId="0" fontId="3" fillId="4" borderId="0" xfId="0" applyFont="1" applyFill="1" applyAlignment="1">
      <alignment vertical="top" wrapText="1"/>
    </xf>
    <xf numFmtId="164" fontId="12" fillId="5" borderId="0" xfId="0" applyNumberFormat="1" applyFont="1" applyFill="1"/>
    <xf numFmtId="3" fontId="12" fillId="5" borderId="0" xfId="0" applyNumberFormat="1" applyFont="1" applyFill="1"/>
    <xf numFmtId="164" fontId="1" fillId="0" borderId="0" xfId="0" applyNumberFormat="1" applyFont="1"/>
    <xf numFmtId="0" fontId="1" fillId="0" borderId="3" xfId="0" applyFont="1" applyBorder="1"/>
    <xf numFmtId="3" fontId="12" fillId="5" borderId="3" xfId="0" applyNumberFormat="1" applyFont="1" applyFill="1" applyBorder="1"/>
    <xf numFmtId="0" fontId="12" fillId="5" borderId="3" xfId="0" applyFont="1" applyFill="1" applyBorder="1"/>
    <xf numFmtId="164" fontId="12" fillId="5" borderId="3" xfId="0" applyNumberFormat="1" applyFont="1" applyFill="1" applyBorder="1"/>
    <xf numFmtId="0" fontId="9" fillId="0" borderId="3" xfId="0" applyFont="1" applyBorder="1"/>
    <xf numFmtId="0" fontId="13" fillId="0" borderId="3" xfId="0" applyFont="1" applyFill="1" applyBorder="1"/>
    <xf numFmtId="0" fontId="7" fillId="0" borderId="3" xfId="0" applyFont="1" applyBorder="1"/>
    <xf numFmtId="3" fontId="7" fillId="0" borderId="3" xfId="0" applyNumberFormat="1" applyFont="1" applyBorder="1"/>
    <xf numFmtId="0" fontId="14" fillId="4" borderId="3" xfId="0" applyFont="1" applyFill="1" applyBorder="1"/>
    <xf numFmtId="3" fontId="14" fillId="4" borderId="3" xfId="0" applyNumberFormat="1" applyFont="1" applyFill="1" applyBorder="1"/>
    <xf numFmtId="164" fontId="7" fillId="0" borderId="3" xfId="0" applyNumberFormat="1" applyFont="1" applyBorder="1"/>
    <xf numFmtId="164" fontId="14" fillId="4" borderId="3" xfId="0" applyNumberFormat="1" applyFont="1" applyFill="1" applyBorder="1"/>
    <xf numFmtId="0" fontId="10" fillId="0" borderId="3" xfId="0" applyFont="1" applyFill="1" applyBorder="1" applyAlignment="1">
      <alignment vertical="top" wrapText="1"/>
    </xf>
    <xf numFmtId="0" fontId="8" fillId="0" borderId="3" xfId="0" applyFont="1" applyFill="1" applyBorder="1" applyAlignment="1">
      <alignment vertical="top" wrapText="1"/>
    </xf>
    <xf numFmtId="0" fontId="15" fillId="0" borderId="3" xfId="1" applyFill="1" applyBorder="1" applyAlignment="1">
      <alignment vertical="top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bir.sme.gov.tw/" TargetMode="External"/><Relationship Id="rId2" Type="http://schemas.openxmlformats.org/officeDocument/2006/relationships/hyperlink" Target="https://www.gov.tw/News_Content_2_828377" TargetMode="External"/><Relationship Id="rId1" Type="http://schemas.openxmlformats.org/officeDocument/2006/relationships/hyperlink" Target="https://www.zeczec.com/docs/funds-ru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2A83-BDC6-456B-9B41-A2A499892245}">
  <dimension ref="A1:L60"/>
  <sheetViews>
    <sheetView showGridLines="0" workbookViewId="0">
      <pane ySplit="6" topLeftCell="A7" activePane="bottomLeft" state="frozenSplit"/>
      <selection pane="bottomLeft"/>
    </sheetView>
  </sheetViews>
  <sheetFormatPr defaultRowHeight="16.5" x14ac:dyDescent="0.25"/>
  <cols>
    <col min="1" max="1" width="20.625" customWidth="1"/>
    <col min="2" max="2" width="27.625" customWidth="1"/>
    <col min="3" max="3" width="14.625" customWidth="1"/>
    <col min="4" max="4" width="18.625" customWidth="1"/>
    <col min="5" max="5" width="48.625" customWidth="1"/>
    <col min="6" max="6" width="42.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3">
      <c r="A2" s="2" t="s">
        <v>78</v>
      </c>
      <c r="B2" s="2"/>
      <c r="C2" s="2"/>
      <c r="D2" s="2"/>
      <c r="E2" s="2"/>
      <c r="F2" s="2"/>
      <c r="G2" s="1"/>
      <c r="H2" s="1"/>
      <c r="I2" s="1"/>
      <c r="J2" s="1"/>
      <c r="K2" s="1"/>
      <c r="L2" s="1"/>
    </row>
    <row r="3" spans="1:12" x14ac:dyDescent="0.25">
      <c r="A3" s="3" t="s">
        <v>79</v>
      </c>
      <c r="B3" s="3"/>
      <c r="C3" s="3"/>
      <c r="D3" s="3"/>
      <c r="E3" s="3"/>
      <c r="F3" s="3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5" t="s">
        <v>80</v>
      </c>
      <c r="B6" s="5" t="s">
        <v>81</v>
      </c>
      <c r="C6" s="5" t="s">
        <v>82</v>
      </c>
      <c r="D6" s="5" t="s">
        <v>83</v>
      </c>
      <c r="E6" s="5" t="s">
        <v>84</v>
      </c>
      <c r="F6" s="5" t="s">
        <v>12</v>
      </c>
      <c r="G6" s="1"/>
      <c r="H6" s="1"/>
      <c r="I6" s="1"/>
      <c r="J6" s="1"/>
      <c r="K6" s="1"/>
      <c r="L6" s="1"/>
    </row>
    <row r="7" spans="1:12" ht="96" x14ac:dyDescent="0.25">
      <c r="A7" s="30" t="s">
        <v>85</v>
      </c>
      <c r="B7" s="31" t="s">
        <v>86</v>
      </c>
      <c r="C7" s="31" t="s">
        <v>87</v>
      </c>
      <c r="D7" s="31" t="s">
        <v>88</v>
      </c>
      <c r="E7" s="32" t="s">
        <v>89</v>
      </c>
      <c r="F7" s="31" t="s">
        <v>90</v>
      </c>
      <c r="G7" s="1"/>
      <c r="H7" s="1"/>
      <c r="I7" s="1"/>
      <c r="J7" s="1"/>
      <c r="K7" s="1"/>
      <c r="L7" s="1"/>
    </row>
    <row r="8" spans="1:12" ht="82.5" x14ac:dyDescent="0.25">
      <c r="A8" s="30" t="s">
        <v>91</v>
      </c>
      <c r="B8" s="31" t="s">
        <v>92</v>
      </c>
      <c r="C8" s="31" t="s">
        <v>93</v>
      </c>
      <c r="D8" s="31" t="s">
        <v>94</v>
      </c>
      <c r="E8" s="32" t="s">
        <v>95</v>
      </c>
      <c r="F8" s="31" t="s">
        <v>96</v>
      </c>
      <c r="G8" s="1"/>
      <c r="H8" s="1"/>
      <c r="I8" s="1"/>
      <c r="J8" s="1"/>
      <c r="K8" s="1"/>
      <c r="L8" s="1"/>
    </row>
    <row r="9" spans="1:12" ht="49.5" x14ac:dyDescent="0.25">
      <c r="A9" s="30" t="s">
        <v>97</v>
      </c>
      <c r="B9" s="31" t="s">
        <v>98</v>
      </c>
      <c r="C9" s="31" t="s">
        <v>93</v>
      </c>
      <c r="D9" s="31" t="s">
        <v>94</v>
      </c>
      <c r="E9" s="32" t="s">
        <v>99</v>
      </c>
      <c r="F9" s="31" t="s">
        <v>100</v>
      </c>
      <c r="G9" s="1"/>
      <c r="H9" s="1"/>
      <c r="I9" s="1"/>
      <c r="J9" s="1"/>
      <c r="K9" s="1"/>
      <c r="L9" s="1"/>
    </row>
    <row r="10" spans="1:12" ht="25.5" x14ac:dyDescent="0.25">
      <c r="A10" s="30" t="s">
        <v>101</v>
      </c>
      <c r="B10" s="31" t="s">
        <v>102</v>
      </c>
      <c r="C10" s="31" t="s">
        <v>103</v>
      </c>
      <c r="D10" s="31" t="s">
        <v>104</v>
      </c>
      <c r="E10" s="31"/>
      <c r="F10" s="31" t="s">
        <v>105</v>
      </c>
      <c r="G10" s="1"/>
      <c r="H10" s="1"/>
      <c r="I10" s="1"/>
      <c r="J10" s="1"/>
      <c r="K10" s="1"/>
      <c r="L10" s="1"/>
    </row>
    <row r="11" spans="1:12" ht="36" x14ac:dyDescent="0.25">
      <c r="A11" s="30" t="s">
        <v>106</v>
      </c>
      <c r="B11" s="31" t="s">
        <v>102</v>
      </c>
      <c r="C11" s="31" t="s">
        <v>103</v>
      </c>
      <c r="D11" s="31" t="s">
        <v>107</v>
      </c>
      <c r="E11" s="31"/>
      <c r="F11" s="31" t="s">
        <v>108</v>
      </c>
      <c r="G11" s="1"/>
      <c r="H11" s="1"/>
      <c r="I11" s="1"/>
      <c r="J11" s="1"/>
      <c r="K11" s="1"/>
      <c r="L11" s="1"/>
    </row>
    <row r="12" spans="1:12" ht="48" x14ac:dyDescent="0.25">
      <c r="A12" s="30" t="s">
        <v>109</v>
      </c>
      <c r="B12" s="31" t="s">
        <v>102</v>
      </c>
      <c r="C12" s="31" t="s">
        <v>110</v>
      </c>
      <c r="D12" s="31" t="s">
        <v>107</v>
      </c>
      <c r="E12" s="31"/>
      <c r="F12" s="31" t="s">
        <v>111</v>
      </c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hyperlinks>
    <hyperlink ref="E7" r:id="rId1" xr:uid="{1A795152-3122-404E-A504-C9C35776D87F}"/>
    <hyperlink ref="E8" r:id="rId2" xr:uid="{E8772E45-DBF5-4E98-B9CC-074DEC973425}"/>
    <hyperlink ref="E9" r:id="rId3" xr:uid="{5331E529-F63E-4C32-9195-BFF4F38F4B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E24C9-77F6-4B50-BC4F-97E73C6F1D61}">
  <dimension ref="A1:L60"/>
  <sheetViews>
    <sheetView showGridLines="0" workbookViewId="0">
      <pane ySplit="6" topLeftCell="A7" activePane="bottomLeft" state="frozenSplit"/>
      <selection pane="bottomLeft"/>
    </sheetView>
  </sheetViews>
  <sheetFormatPr defaultRowHeight="16.5" x14ac:dyDescent="0.25"/>
  <cols>
    <col min="1" max="1" width="18.625" customWidth="1"/>
    <col min="2" max="2" width="15.625" customWidth="1"/>
    <col min="3" max="3" width="17.625" customWidth="1"/>
    <col min="4" max="4" width="14.625" customWidth="1"/>
    <col min="5" max="5" width="12.625" customWidth="1"/>
    <col min="6" max="7" width="14.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3">
      <c r="A2" s="2" t="s">
        <v>64</v>
      </c>
      <c r="B2" s="2"/>
      <c r="C2" s="2"/>
      <c r="D2" s="2"/>
      <c r="E2" s="2"/>
      <c r="F2" s="2"/>
      <c r="G2" s="2"/>
      <c r="H2" s="1"/>
      <c r="I2" s="1"/>
      <c r="J2" s="1"/>
      <c r="K2" s="1"/>
      <c r="L2" s="1"/>
    </row>
    <row r="3" spans="1:12" x14ac:dyDescent="0.25">
      <c r="A3" s="3" t="s">
        <v>65</v>
      </c>
      <c r="B3" s="3"/>
      <c r="C3" s="3"/>
      <c r="D3" s="3"/>
      <c r="E3" s="3"/>
      <c r="F3" s="3"/>
      <c r="G3" s="3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5.5" x14ac:dyDescent="0.25">
      <c r="A6" s="5" t="s">
        <v>66</v>
      </c>
      <c r="B6" s="5" t="s">
        <v>67</v>
      </c>
      <c r="C6" s="5" t="s">
        <v>68</v>
      </c>
      <c r="D6" s="5" t="s">
        <v>69</v>
      </c>
      <c r="E6" s="5" t="s">
        <v>70</v>
      </c>
      <c r="F6" s="5" t="s">
        <v>71</v>
      </c>
      <c r="G6" s="5" t="s">
        <v>72</v>
      </c>
      <c r="H6" s="1"/>
      <c r="I6" s="1"/>
      <c r="J6" s="1"/>
      <c r="K6" s="1"/>
      <c r="L6" s="1"/>
    </row>
    <row r="7" spans="1:12" x14ac:dyDescent="0.25">
      <c r="A7" s="24" t="s">
        <v>73</v>
      </c>
      <c r="B7" s="25">
        <f>Assumptions!B10</f>
        <v>2480</v>
      </c>
      <c r="C7" s="25">
        <f>Assumptions!B17</f>
        <v>1530</v>
      </c>
      <c r="D7" s="25">
        <f>B7-C7</f>
        <v>950</v>
      </c>
      <c r="E7" s="28">
        <f>D7/B7</f>
        <v>0.38306451612903225</v>
      </c>
      <c r="F7" s="28">
        <f>Assumptions!B21</f>
        <v>0.6</v>
      </c>
      <c r="G7" s="25">
        <f>D7*F7</f>
        <v>570</v>
      </c>
      <c r="H7" s="1"/>
      <c r="I7" s="1"/>
      <c r="J7" s="1"/>
      <c r="K7" s="1"/>
      <c r="L7" s="1"/>
    </row>
    <row r="8" spans="1:12" x14ac:dyDescent="0.25">
      <c r="A8" s="24" t="s">
        <v>74</v>
      </c>
      <c r="B8" s="25">
        <f>Assumptions!B11</f>
        <v>2880</v>
      </c>
      <c r="C8" s="25">
        <f>Assumptions!B18</f>
        <v>1730</v>
      </c>
      <c r="D8" s="25">
        <f>B8-C8</f>
        <v>1150</v>
      </c>
      <c r="E8" s="28">
        <f>D8/B8</f>
        <v>0.39930555555555558</v>
      </c>
      <c r="F8" s="28">
        <f>Assumptions!B22</f>
        <v>0.4</v>
      </c>
      <c r="G8" s="25">
        <f>D8*F8</f>
        <v>460</v>
      </c>
      <c r="H8" s="1"/>
      <c r="I8" s="1"/>
      <c r="J8" s="1"/>
      <c r="K8" s="1"/>
      <c r="L8" s="1"/>
    </row>
    <row r="9" spans="1:12" x14ac:dyDescent="0.25">
      <c r="A9" s="26" t="s">
        <v>75</v>
      </c>
      <c r="B9" s="27">
        <f>B7*F7+B8*F8</f>
        <v>2640</v>
      </c>
      <c r="C9" s="27">
        <f>C7*F7+C8*F8</f>
        <v>1610</v>
      </c>
      <c r="D9" s="27">
        <f>D7*F7+D8*F8</f>
        <v>1030</v>
      </c>
      <c r="E9" s="29">
        <f>D9/B9</f>
        <v>0.39015151515151514</v>
      </c>
      <c r="F9" s="29">
        <f>F7+F8</f>
        <v>1</v>
      </c>
      <c r="G9" s="27">
        <f>G7+G8</f>
        <v>1030</v>
      </c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9" t="s">
        <v>76</v>
      </c>
      <c r="B13" s="9"/>
      <c r="C13" s="9"/>
      <c r="D13" s="9"/>
      <c r="E13" s="9"/>
      <c r="F13" s="9"/>
      <c r="G13" s="9"/>
      <c r="H13" s="1"/>
      <c r="I13" s="1"/>
      <c r="J13" s="1"/>
      <c r="K13" s="1"/>
      <c r="L13" s="1"/>
    </row>
    <row r="14" spans="1:12" x14ac:dyDescent="0.25">
      <c r="A14" s="14" t="s">
        <v>77</v>
      </c>
      <c r="B14" s="14"/>
      <c r="C14" s="14"/>
      <c r="D14" s="14"/>
      <c r="E14" s="14"/>
      <c r="F14" s="14"/>
      <c r="G14" s="14"/>
      <c r="H14" s="1"/>
      <c r="I14" s="1"/>
      <c r="J14" s="1"/>
      <c r="K14" s="1"/>
      <c r="L14" s="1"/>
    </row>
    <row r="15" spans="1:12" x14ac:dyDescent="0.25">
      <c r="A15" s="14"/>
      <c r="B15" s="14"/>
      <c r="C15" s="14"/>
      <c r="D15" s="14"/>
      <c r="E15" s="14"/>
      <c r="F15" s="14"/>
      <c r="G15" s="14"/>
      <c r="H15" s="1"/>
      <c r="I15" s="1"/>
      <c r="J15" s="1"/>
      <c r="K15" s="1"/>
      <c r="L15" s="1"/>
    </row>
    <row r="16" spans="1:12" x14ac:dyDescent="0.25">
      <c r="A16" s="14"/>
      <c r="B16" s="14"/>
      <c r="C16" s="14"/>
      <c r="D16" s="14"/>
      <c r="E16" s="14"/>
      <c r="F16" s="14"/>
      <c r="G16" s="14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2">
    <mergeCell ref="A13:G13"/>
    <mergeCell ref="A14:G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FDA1-21A2-45B0-B4AE-DDDB54B2A93F}">
  <dimension ref="A1:L60"/>
  <sheetViews>
    <sheetView showGridLines="0" workbookViewId="0">
      <pane ySplit="6" topLeftCell="A7" activePane="bottomLeft" state="frozenSplit"/>
      <selection pane="bottomLeft"/>
    </sheetView>
  </sheetViews>
  <sheetFormatPr defaultRowHeight="16.5" x14ac:dyDescent="0.25"/>
  <cols>
    <col min="1" max="1" width="27.625" customWidth="1"/>
    <col min="2" max="2" width="15.625" customWidth="1"/>
    <col min="3" max="3" width="3.625" customWidth="1"/>
    <col min="4" max="4" width="18.625" customWidth="1"/>
    <col min="5" max="5" width="17.625" customWidth="1"/>
    <col min="6" max="6" width="15.625" customWidth="1"/>
    <col min="7" max="7" width="12.625" customWidth="1"/>
    <col min="8" max="8" width="13.625" customWidth="1"/>
    <col min="9" max="9" width="12.625" customWidth="1"/>
    <col min="10" max="10" width="27.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3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2" x14ac:dyDescent="0.25">
      <c r="A3" s="3" t="s">
        <v>24</v>
      </c>
      <c r="B3" s="3"/>
      <c r="C3" s="3"/>
      <c r="D3" s="3"/>
      <c r="E3" s="3"/>
      <c r="F3" s="3"/>
      <c r="G3" s="3"/>
      <c r="H3" s="3"/>
      <c r="I3" s="3"/>
      <c r="J3" s="3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9" t="s">
        <v>25</v>
      </c>
      <c r="B6" s="9"/>
      <c r="C6" s="1"/>
      <c r="D6" s="9" t="s">
        <v>41</v>
      </c>
      <c r="E6" s="9"/>
      <c r="F6" s="9"/>
      <c r="G6" s="9"/>
      <c r="H6" s="9"/>
      <c r="I6" s="9"/>
      <c r="J6" s="9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25.5" x14ac:dyDescent="0.25">
      <c r="A8" s="1" t="s">
        <v>26</v>
      </c>
      <c r="B8" s="15">
        <v>0.08</v>
      </c>
      <c r="C8" s="1"/>
      <c r="D8" s="5" t="s">
        <v>3</v>
      </c>
      <c r="E8" s="5" t="s">
        <v>4</v>
      </c>
      <c r="F8" s="5" t="s">
        <v>5</v>
      </c>
      <c r="G8" s="5" t="s">
        <v>42</v>
      </c>
      <c r="H8" s="5" t="s">
        <v>43</v>
      </c>
      <c r="I8" s="5" t="s">
        <v>44</v>
      </c>
      <c r="J8" s="5" t="s">
        <v>45</v>
      </c>
      <c r="K8" s="1"/>
      <c r="L8" s="1"/>
    </row>
    <row r="9" spans="1:12" x14ac:dyDescent="0.25">
      <c r="A9" s="1" t="s">
        <v>27</v>
      </c>
      <c r="B9" s="15">
        <v>0.05</v>
      </c>
      <c r="C9" s="1"/>
      <c r="D9" s="18" t="s">
        <v>46</v>
      </c>
      <c r="E9" s="18" t="s">
        <v>47</v>
      </c>
      <c r="F9" s="19">
        <v>180000</v>
      </c>
      <c r="G9" s="20">
        <v>10</v>
      </c>
      <c r="H9" s="20">
        <v>6</v>
      </c>
      <c r="I9" s="21">
        <v>0.1</v>
      </c>
      <c r="J9" s="22" t="s">
        <v>48</v>
      </c>
      <c r="K9" s="1"/>
      <c r="L9" s="1"/>
    </row>
    <row r="10" spans="1:12" x14ac:dyDescent="0.25">
      <c r="A10" s="1" t="s">
        <v>28</v>
      </c>
      <c r="B10" s="16">
        <v>2480</v>
      </c>
      <c r="C10" s="1"/>
      <c r="D10" s="18" t="s">
        <v>49</v>
      </c>
      <c r="E10" s="18" t="s">
        <v>50</v>
      </c>
      <c r="F10" s="19">
        <v>320000</v>
      </c>
      <c r="G10" s="20">
        <v>36</v>
      </c>
      <c r="H10" s="20">
        <v>24</v>
      </c>
      <c r="I10" s="21">
        <v>0.1</v>
      </c>
      <c r="J10" s="22" t="s">
        <v>51</v>
      </c>
      <c r="K10" s="1"/>
      <c r="L10" s="1"/>
    </row>
    <row r="11" spans="1:12" x14ac:dyDescent="0.25">
      <c r="A11" s="1" t="s">
        <v>29</v>
      </c>
      <c r="B11" s="16">
        <v>2880</v>
      </c>
      <c r="C11" s="1"/>
      <c r="D11" s="18" t="s">
        <v>52</v>
      </c>
      <c r="E11" s="18" t="s">
        <v>53</v>
      </c>
      <c r="F11" s="19">
        <v>520000</v>
      </c>
      <c r="G11" s="20">
        <v>120</v>
      </c>
      <c r="H11" s="20">
        <v>80</v>
      </c>
      <c r="I11" s="21">
        <v>0.15</v>
      </c>
      <c r="J11" s="22" t="s">
        <v>54</v>
      </c>
      <c r="K11" s="1"/>
      <c r="L11" s="1"/>
    </row>
    <row r="12" spans="1:12" x14ac:dyDescent="0.25">
      <c r="A12" s="1" t="s">
        <v>30</v>
      </c>
      <c r="B12" s="16">
        <v>1000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 t="s">
        <v>31</v>
      </c>
      <c r="B13" s="16">
        <v>1200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 t="s">
        <v>32</v>
      </c>
      <c r="B14" s="16">
        <v>250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 t="s">
        <v>33</v>
      </c>
      <c r="B15" s="16">
        <v>100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 t="s">
        <v>34</v>
      </c>
      <c r="B16" s="16">
        <v>180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 t="s">
        <v>35</v>
      </c>
      <c r="B17" s="10">
        <f>B12+B14+B15+B16</f>
        <v>1530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 t="s">
        <v>36</v>
      </c>
      <c r="B18" s="10">
        <f>B13+B14+B15+B16</f>
        <v>1730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 t="s">
        <v>37</v>
      </c>
      <c r="B19" s="10">
        <f>B10-B17</f>
        <v>950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 t="s">
        <v>38</v>
      </c>
      <c r="B20" s="10">
        <f>B11-B18</f>
        <v>1150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 t="s">
        <v>39</v>
      </c>
      <c r="B21" s="15">
        <v>0.6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 t="s">
        <v>40</v>
      </c>
      <c r="B22" s="17">
        <f>1-B21</f>
        <v>0.4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9" t="s">
        <v>55</v>
      </c>
      <c r="B25" s="9"/>
      <c r="C25" s="9"/>
      <c r="D25" s="9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23" t="s">
        <v>56</v>
      </c>
      <c r="B26" s="8" t="s">
        <v>57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23" t="s">
        <v>58</v>
      </c>
      <c r="B27" s="8" t="s">
        <v>59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23" t="s">
        <v>60</v>
      </c>
      <c r="B28" s="8" t="s">
        <v>61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23" t="s">
        <v>62</v>
      </c>
      <c r="B29" s="8" t="s">
        <v>63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3">
    <mergeCell ref="A6:B6"/>
    <mergeCell ref="D6:J6"/>
    <mergeCell ref="A25:D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0C55-EE6A-4F99-B02A-D2B30B86761E}">
  <dimension ref="A1:L60"/>
  <sheetViews>
    <sheetView showGridLines="0" tabSelected="1" workbookViewId="0">
      <pane ySplit="6" topLeftCell="A7" activePane="bottomLeft" state="frozenSplit"/>
      <selection pane="bottomLeft"/>
    </sheetView>
  </sheetViews>
  <sheetFormatPr defaultRowHeight="16.5" x14ac:dyDescent="0.25"/>
  <cols>
    <col min="1" max="1" width="17.625" customWidth="1"/>
    <col min="2" max="2" width="18.625" customWidth="1"/>
    <col min="3" max="3" width="14.625" customWidth="1"/>
    <col min="4" max="4" width="15.625" customWidth="1"/>
    <col min="5" max="5" width="12.625" customWidth="1"/>
    <col min="6" max="7" width="15.625" customWidth="1"/>
    <col min="8" max="9" width="14.625" customWidth="1"/>
    <col min="10" max="10" width="25.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4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5.5" x14ac:dyDescent="0.25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1"/>
      <c r="L6" s="1"/>
    </row>
    <row r="7" spans="1:12" x14ac:dyDescent="0.25">
      <c r="A7" s="6" t="str">
        <f>Assumptions!D9</f>
        <v>Lean validation</v>
      </c>
      <c r="B7" s="6" t="str">
        <f>Assumptions!E9</f>
        <v>學生／老師試用</v>
      </c>
      <c r="C7" s="7">
        <f>Assumptions!F9</f>
        <v>180000</v>
      </c>
      <c r="D7" s="7">
        <f>Assumptions!G9*Assumptions!$B$17+Assumptions!H9*Assumptions!$B$18</f>
        <v>25680</v>
      </c>
      <c r="E7" s="7">
        <f>(C7+D7)*Assumptions!I9</f>
        <v>20568</v>
      </c>
      <c r="F7" s="7">
        <f>C7+D7+E7</f>
        <v>226248</v>
      </c>
      <c r="G7" s="7">
        <f>F7/(1-Assumptions!$B$8)</f>
        <v>245921.73913043478</v>
      </c>
      <c r="H7" s="7">
        <f>Assumptions!$B$21*Assumptions!$B$19+Assumptions!$B$22*Assumptions!$B$20</f>
        <v>1030</v>
      </c>
      <c r="I7" s="7">
        <f>F7/H7</f>
        <v>219.65825242718446</v>
      </c>
      <c r="J7" s="8" t="s">
        <v>13</v>
      </c>
      <c r="K7" s="1"/>
      <c r="L7" s="1"/>
    </row>
    <row r="8" spans="1:12" x14ac:dyDescent="0.25">
      <c r="A8" s="6" t="str">
        <f>Assumptions!D10</f>
        <v>Launch ready</v>
      </c>
      <c r="B8" s="6" t="str">
        <f>Assumptions!E10</f>
        <v>嘖嘖第一輪</v>
      </c>
      <c r="C8" s="7">
        <f>Assumptions!F10</f>
        <v>320000</v>
      </c>
      <c r="D8" s="7">
        <f>Assumptions!G10*Assumptions!$B$17+Assumptions!H10*Assumptions!$B$18</f>
        <v>96600</v>
      </c>
      <c r="E8" s="7">
        <f>(C8+D8)*Assumptions!I10</f>
        <v>41660</v>
      </c>
      <c r="F8" s="7">
        <f>C8+D8+E8</f>
        <v>458260</v>
      </c>
      <c r="G8" s="7">
        <f>F8/(1-Assumptions!$B$8)</f>
        <v>498108.69565217389</v>
      </c>
      <c r="H8" s="7">
        <f>Assumptions!$B$21*Assumptions!$B$19+Assumptions!$B$22*Assumptions!$B$20</f>
        <v>1030</v>
      </c>
      <c r="I8" s="7">
        <f>F8/H8</f>
        <v>444.91262135922329</v>
      </c>
      <c r="J8" s="8" t="s">
        <v>14</v>
      </c>
      <c r="K8" s="1"/>
      <c r="L8" s="1"/>
    </row>
    <row r="9" spans="1:12" x14ac:dyDescent="0.25">
      <c r="A9" s="6" t="str">
        <f>Assumptions!D11</f>
        <v>Production safe</v>
      </c>
      <c r="B9" s="6" t="str">
        <f>Assumptions!E11</f>
        <v>MOQ／交期安全</v>
      </c>
      <c r="C9" s="7">
        <f>Assumptions!F11</f>
        <v>520000</v>
      </c>
      <c r="D9" s="7">
        <f>Assumptions!G11*Assumptions!$B$17+Assumptions!H11*Assumptions!$B$18</f>
        <v>322000</v>
      </c>
      <c r="E9" s="7">
        <f>(C9+D9)*Assumptions!I11</f>
        <v>126300</v>
      </c>
      <c r="F9" s="7">
        <f>C9+D9+E9</f>
        <v>968300</v>
      </c>
      <c r="G9" s="7">
        <f>F9/(1-Assumptions!$B$8)</f>
        <v>1052500</v>
      </c>
      <c r="H9" s="7">
        <f>Assumptions!$B$21*Assumptions!$B$19+Assumptions!$B$22*Assumptions!$B$20</f>
        <v>1030</v>
      </c>
      <c r="I9" s="7">
        <f>F9/H9</f>
        <v>940.09708737864082</v>
      </c>
      <c r="J9" s="8" t="s">
        <v>15</v>
      </c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9" t="s">
        <v>16</v>
      </c>
      <c r="B12" s="9"/>
      <c r="C12" s="9"/>
      <c r="D12" s="9"/>
      <c r="E12" s="1"/>
      <c r="F12" s="9" t="s">
        <v>21</v>
      </c>
      <c r="G12" s="9"/>
      <c r="H12" s="9"/>
      <c r="I12" s="9"/>
      <c r="J12" s="9"/>
      <c r="K12" s="1"/>
      <c r="L12" s="1"/>
    </row>
    <row r="13" spans="1:12" x14ac:dyDescent="0.25">
      <c r="A13" s="11" t="s">
        <v>17</v>
      </c>
      <c r="B13" s="12">
        <f>F8</f>
        <v>458260</v>
      </c>
      <c r="C13" s="1"/>
      <c r="D13" s="1"/>
      <c r="E13" s="1"/>
      <c r="F13" s="14" t="s">
        <v>22</v>
      </c>
      <c r="G13" s="14"/>
      <c r="H13" s="14"/>
      <c r="I13" s="14"/>
      <c r="J13" s="14"/>
      <c r="K13" s="1"/>
      <c r="L13" s="1"/>
    </row>
    <row r="14" spans="1:12" x14ac:dyDescent="0.25">
      <c r="A14" s="11" t="s">
        <v>9</v>
      </c>
      <c r="B14" s="12">
        <f>G8</f>
        <v>498108.69565217389</v>
      </c>
      <c r="C14" s="1"/>
      <c r="D14" s="1"/>
      <c r="E14" s="1"/>
      <c r="F14" s="14"/>
      <c r="G14" s="14"/>
      <c r="H14" s="14"/>
      <c r="I14" s="14"/>
      <c r="J14" s="14"/>
      <c r="K14" s="1"/>
      <c r="L14" s="1"/>
    </row>
    <row r="15" spans="1:12" x14ac:dyDescent="0.25">
      <c r="A15" s="11" t="s">
        <v>18</v>
      </c>
      <c r="B15" s="13">
        <f>Assumptions!B8</f>
        <v>0.08</v>
      </c>
      <c r="C15" s="1"/>
      <c r="D15" s="1"/>
      <c r="E15" s="1"/>
      <c r="F15" s="14"/>
      <c r="G15" s="14"/>
      <c r="H15" s="14"/>
      <c r="I15" s="14"/>
      <c r="J15" s="14"/>
      <c r="K15" s="1"/>
      <c r="L15" s="1"/>
    </row>
    <row r="16" spans="1:12" x14ac:dyDescent="0.25">
      <c r="A16" s="11" t="s">
        <v>19</v>
      </c>
      <c r="B16" s="8" t="s">
        <v>20</v>
      </c>
      <c r="C16" s="1"/>
      <c r="D16" s="1"/>
      <c r="E16" s="1"/>
      <c r="F16" s="14"/>
      <c r="G16" s="14"/>
      <c r="H16" s="14"/>
      <c r="I16" s="14"/>
      <c r="J16" s="14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3">
    <mergeCell ref="A12:D12"/>
    <mergeCell ref="F12:J12"/>
    <mergeCell ref="F13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Sources</vt:lpstr>
      <vt:lpstr>Unit_Economics</vt:lpstr>
      <vt:lpstr>Assumptions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ellis</dc:creator>
  <cp:lastModifiedBy>ellis</cp:lastModifiedBy>
  <dcterms:created xsi:type="dcterms:W3CDTF">2026-10-09T03:07:23Z</dcterms:created>
  <dcterms:modified xsi:type="dcterms:W3CDTF">2026-10-09T03:07:32Z</dcterms:modified>
</cp:coreProperties>
</file>